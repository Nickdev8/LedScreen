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</sheets>
  <definedNames/>
  <calcPr/>
</workbook>
</file>

<file path=xl/sharedStrings.xml><?xml version="1.0" encoding="utf-8"?>
<sst xmlns="http://schemas.openxmlformats.org/spreadsheetml/2006/main" count="75" uniqueCount="57">
  <si>
    <t>Minimal Requred</t>
  </si>
  <si>
    <t>Component name</t>
  </si>
  <si>
    <t>Unit Price</t>
  </si>
  <si>
    <t>pcb qty</t>
  </si>
  <si>
    <t>Order qty</t>
  </si>
  <si>
    <t>PART / LCSC</t>
  </si>
  <si>
    <t>Distributor</t>
  </si>
  <si>
    <t>Link / Notes</t>
  </si>
  <si>
    <t>Total Price</t>
  </si>
  <si>
    <t>Raspberry Pi Pico</t>
  </si>
  <si>
    <t>RP2040 Pico</t>
  </si>
  <si>
    <t>AliExpress</t>
  </si>
  <si>
    <t>https://nl.aliexpress.com/item/1005009890247801.html?spm=a2g0o.cart.0.0.3bec61d7IeGl9Y&amp;mp=1&amp;pdp_npi=6%40dis%21EUR%21EUR%207.18%21EUR%203.59%21%21EUR%203.59%21%21%21%402103864c17732347784198025e2e18%2112000050491755796%21ct%21NL%214872523161%21%211%210%21&amp;gatewayAdapt=glo2nld</t>
  </si>
  <si>
    <t>Micro SD card socket</t>
  </si>
  <si>
    <t>TF push-push 9pin</t>
  </si>
  <si>
    <t>https://nl.aliexpress.com/item/1005001331379046.html?spm=a2g0o.cart.0.0.277261d7SrENPP&amp;mp=1&amp;pdp_npi=6%40dis%21EUR%21EUR%201.58%21EUR%201.54%21%21EUR%201.54%21%21%21%40211b61bb17728300126134417e98b5%2112000015723175697%21ct%21NL%214872523161%21%211%210%21&amp;gatewayAdapt=glo2nld</t>
  </si>
  <si>
    <t>JST-SM 3-PIN Header Female</t>
  </si>
  <si>
    <t>PSB Connector</t>
  </si>
  <si>
    <t>https://nl.aliexpress.com/item/1005009483624961.html?spm=a2g0o.cart.0.0.277261d7SrENPP&amp;mp=1&amp;pdp_npi=6%40dis%21EUR%21EUR%200.90%21EUR%200.88%21%21EUR%200.88%21%21%21%40211b61bb17728300126134417e98b5%2112000049242880347%21ct%21NL%214872523161%21%212%210%21&amp;gatewayAdapt=glo2nld</t>
  </si>
  <si>
    <t>JST-SM 3-PIN Header Male</t>
  </si>
  <si>
    <t>https://nl.aliexpress.com/item/1005005362711029.html?spm=a2g0o.cart.0.0.277261d7SrENPP&amp;mp=1&amp;pdp_npi=6%40dis%21EUR%21EUR%202.99%21EUR%202.99%21%21EUR%202.99%21%21%21%40211b61bb17728300126134417e98b5%2112000032745909182%21ct%21NL%214872523161%21%211%210%21&amp;gatewayAdapt=glo2nld</t>
  </si>
  <si>
    <t>JST-XH LED connector cabel</t>
  </si>
  <si>
    <t>https://nl.aliexpress.com/item/1005009696690444.html?aff_fcid=ab017f0a917b4ad7b0b7a8264d1facdc-1772898515790-01922-_c3AOCbrh&amp;aff_fsk=_c3AOCbrh&amp;aff_platform=api-new-link-generate&amp;sk=_c3AOCbrh&amp;aff_trace_key=ab017f0a917b4ad7b0b7a8264d1facdc-1772898515790-01922-_c3AOCbrh&amp;terminal_id=904137c35a1845989e58c82fc9e763b3&amp;afSmartRedirect=y</t>
  </si>
  <si>
    <t>SN74HCT245N</t>
  </si>
  <si>
    <t>C133640</t>
  </si>
  <si>
    <t>LCSC</t>
  </si>
  <si>
    <t>https://www.lcsc.com/product-detail/C133640.html</t>
  </si>
  <si>
    <t>220Ω resistor 0805</t>
  </si>
  <si>
    <t>C17557</t>
  </si>
  <si>
    <t>https://www.lcsc.com/product-detail/C17557.html</t>
  </si>
  <si>
    <t>10kΩ resistor 0805</t>
  </si>
  <si>
    <t>C84376</t>
  </si>
  <si>
    <t>https://www.lcsc.com/product-detail/C84376.html</t>
  </si>
  <si>
    <t>100nF Capacitor 0805</t>
  </si>
  <si>
    <t>C49678</t>
  </si>
  <si>
    <t>https://www.lcsc.com/product-detail/C49678.html</t>
  </si>
  <si>
    <t>4.7uF Capacitor 1206</t>
  </si>
  <si>
    <t>C51205</t>
  </si>
  <si>
    <t>https://www.lcsc.com/product-detail/C51205.html</t>
  </si>
  <si>
    <t>1000uF Capacitor</t>
  </si>
  <si>
    <t>https://www.lcsc.com/product-detail/C72470.html</t>
  </si>
  <si>
    <t>Pin header for Pico and Sync pins</t>
  </si>
  <si>
    <t>2×20 pin header</t>
  </si>
  <si>
    <t>https://www.lcsc.com/product-detail/C2337.html</t>
  </si>
  <si>
    <t>WS2812B 16×16 LED panel</t>
  </si>
  <si>
    <t>Alibaba</t>
  </si>
  <si>
    <t>https://dutch.alibaba.com/product-detail/WS2812B-RGB-Flexible-16x16-8x32-256Leds-1601298120275.html?spm=a2700.7724857.0.0.37912356G5ErL0</t>
  </si>
  <si>
    <t>WS2812B 5050 RGBIC LED-strip</t>
  </si>
  <si>
    <t>5M 60 IP30</t>
  </si>
  <si>
    <t>https://nl.aliexpress.com/item/1005009321343937.html?spm=a2g0o.cart.0.0.63c761d7Y3yk3k&amp;mp=1&amp;pdp_npi=6%40dis%21EUR%21EUR%2011.83%21EUR%205.39%21%21EUR%205.39%21%21%21%402103956b17747766095947837e22d1%2112000048743060298%21ct%21NL%214872523161%21%213%210%21&amp;gatewayAdapt=glo2nld</t>
  </si>
  <si>
    <t>5V 30A PSU</t>
  </si>
  <si>
    <t>Amazon</t>
  </si>
  <si>
    <t>https://www.amazon.nl/-/en/Adapter-Universal-Transformer-Computer-Surveillance/dp/B07PRY73TN/ref=sr_1_2?crid=3G12GY3AMDYFX&amp;dib=eyJ2IjoiMSJ9.GGLPdBMmtgas9tLmkidIhMgK1wABzzGxMjSw6HfJLptF28G971i87hrGFQZb82bhn_PZWh0cXOKQSO2bA0qeHD9ONIlO5hOa4RYynFymPf5X-6aN_kpA2z7Bfk7xbLgtYw3ZG85S32PSDKowqOz1g_wP0VOv0nCJbjXwWq2pGEwIbXDgrT0I-3rNssGgZdDRWsUs6_hwe--tY3UAb7-XhgLQy0n0H-7sqSQHiuql9sZIc6NdDbR9eu21ph8KYVJsQ4hUPo0NOO5MN17_FGTtQM2NYHWg5qJCwc4waC3QGBw.GK50MAkplBmgr0mNeBmSa0HTPpoQFE7G-70GxmdY4PM&amp;dib_tag=se&amp;keywords=30v%2B5a%2Bpsu&amp;qid=1773234227&amp;sprefix=%2Caps%2C127&amp;sr=8-2&amp;th=1</t>
  </si>
  <si>
    <t>16AWG power wire</t>
  </si>
  <si>
    <t>5–10m</t>
  </si>
  <si>
    <t>Routing to Panels</t>
  </si>
  <si>
    <t>https://nl.aliexpress.com/item/1005008563402600.html?spm=a2g0o.productlist.main.1.3059MF2IMF2I5p&amp;algo_pvid=2fc87953-a2ce-42db-861e-5e6e61cea6c8&amp;algo_exp_id=2fc87953-a2ce-42db-861e-5e6e61cea6c8-0&amp;pdp_ext_f=%7B%22order%22%3A%223316%22%2C%22spu_best_type%22%3A%22price%22%2C%22eval%22%3A%221%22%2C%22fromPage%22%3A%22search%22%7D&amp;pdp_npi=6%40dis%21EUR%218.93%218.69%21%21%2169.98%2168.10%21%402103849717728312067008993ebce9%2112000045750764549%21sea%21NL%214872523161%21X%211%210%21n_tag%3A-29912%3Bd%3A2fd2c7a1%3Bm03_new_user%3A-29895&amp;curPageLogUid=UtoHJnuT4ywC&amp;utparam-url=scene%3Asearch%7Cquery_from%3A%7Cx_object_id%3A1005008563402600%7C_p_origin_prod%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</si>
</sst>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€]#,##0.0000"/>
    <numFmt numFmtId="165" formatCode="[$€]#,##0.00"/>
    <numFmt numFmtId="166" formatCode="[$$]#,##0.00"/>
  </numFmts>
  <fonts count="18">
    <font>
      <sz val="10.0"/>
      <color rgb="FF000000"/>
      <name val="Arial"/>
    </font>
    <font>
      <b/>
      <sz val="10.0"/>
      <color rgb="FFFFFFFF"/>
      <name val="Courier New"/>
    </font>
    <font>
      <sz val="10.0"/>
      <color rgb="FFFFFFFF"/>
      <name val="Courier New"/>
    </font>
    <font>
      <sz val="10.0"/>
      <name val="Courier New"/>
    </font>
    <font/>
    <font>
      <sz val="10.0"/>
      <color rgb="FF434343"/>
      <name val="Courier New"/>
    </font>
    <font>
      <u/>
      <sz val="10.0"/>
      <color rgb="FF0000FF"/>
      <name val="Courier New"/>
    </font>
    <font>
      <u/>
      <sz val="10.0"/>
      <color rgb="FF0000FF"/>
      <name val="Courier New"/>
    </font>
    <font>
      <u/>
      <sz val="10.0"/>
      <color rgb="FF0000FF"/>
      <name val="Courier New"/>
    </font>
    <font>
      <color rgb="FF434343"/>
      <name val="Courier New"/>
    </font>
    <font>
      <u/>
      <color rgb="FF0000FF"/>
      <name val="Courier New"/>
    </font>
    <font>
      <sz val="9.0"/>
      <color rgb="FF1C1F23"/>
      <name val="Courier New"/>
    </font>
    <font>
      <u/>
      <sz val="10.0"/>
      <color rgb="FF000000"/>
      <name val="Courier New"/>
    </font>
    <font>
      <color rgb="FF434343"/>
      <name val="Roboto"/>
    </font>
    <font>
      <u/>
      <color rgb="FF0000FF"/>
      <name val="Roboto"/>
    </font>
    <font>
      <sz val="10.0"/>
      <color rgb="FF0F1111"/>
      <name val="Courier New"/>
    </font>
    <font>
      <name val="Courier New"/>
    </font>
    <font>
      <b/>
      <sz val="13.0"/>
      <name val="Courier Ne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4" numFmtId="0" xfId="0" applyFont="1"/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164" xfId="0" applyAlignment="1" applyBorder="1" applyFont="1" applyNumberFormat="1">
      <alignment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0" fillId="0" fontId="5" numFmtId="165" xfId="0" applyAlignment="1" applyFont="1" applyNumberFormat="1">
      <alignment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164" xfId="0" applyAlignment="1" applyBorder="1" applyFont="1" applyNumberFormat="1">
      <alignment readingOrder="0" shrinkToFit="0" vertical="center" wrapText="0"/>
    </xf>
    <xf borderId="2" fillId="0" fontId="7" numFmtId="0" xfId="0" applyAlignment="1" applyBorder="1" applyFont="1">
      <alignment readingOrder="0" shrinkToFit="0" vertical="center" wrapText="0"/>
    </xf>
    <xf borderId="2" fillId="0" fontId="8" numFmtId="0" xfId="0" applyAlignment="1" applyBorder="1" applyFont="1">
      <alignment readingOrder="0" shrinkToFit="0" vertical="center" wrapText="0"/>
    </xf>
    <xf borderId="0" fillId="0" fontId="3" numFmtId="0" xfId="0" applyFont="1"/>
    <xf borderId="0" fillId="0" fontId="9" numFmtId="164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2" fontId="11" numFmtId="0" xfId="0" applyAlignment="1" applyFill="1" applyFont="1">
      <alignment readingOrder="0" shrinkToFit="0" vertical="center" wrapText="0"/>
    </xf>
    <xf borderId="2" fillId="0" fontId="12" numFmtId="0" xfId="0" applyAlignment="1" applyBorder="1" applyFont="1">
      <alignment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164" xfId="0" applyAlignment="1" applyFont="1" applyNumberForma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2" fillId="2" fontId="15" numFmtId="164" xfId="0" applyAlignment="1" applyBorder="1" applyFont="1" applyNumberFormat="1">
      <alignment readingOrder="0" shrinkToFit="0" vertical="center" wrapText="0"/>
    </xf>
    <xf borderId="0" fillId="0" fontId="16" numFmtId="0" xfId="0" applyFont="1"/>
    <xf borderId="0" fillId="0" fontId="17" numFmtId="0" xfId="0" applyAlignment="1" applyFont="1">
      <alignment readingOrder="0"/>
    </xf>
    <xf borderId="0" fillId="0" fontId="17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O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9" displayName="PCB" name="PCB" id="1">
  <tableColumns count="9">
    <tableColumn name="Minimal Requred" id="1"/>
    <tableColumn name="Component name" id="2"/>
    <tableColumn name="Unit Price" id="3"/>
    <tableColumn name="pcb qty" id="4"/>
    <tableColumn name="Order qty" id="5"/>
    <tableColumn name="PART / LCSC" id="6"/>
    <tableColumn name="Distributor" id="7"/>
    <tableColumn name="Link / Notes" id="8"/>
    <tableColumn name="Total Price" id="9"/>
  </tableColumns>
  <tableStyleInfo name="BOM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csc.com/product-detail/C72470.html" TargetMode="External"/><Relationship Id="rId10" Type="http://schemas.openxmlformats.org/officeDocument/2006/relationships/hyperlink" Target="https://www.lcsc.com/product-detail/C51205.html" TargetMode="External"/><Relationship Id="rId13" Type="http://schemas.openxmlformats.org/officeDocument/2006/relationships/hyperlink" Target="https://dutch.alibaba.com/product-detail/WS2812B-RGB-Flexible-16x16-8x32-256Leds-1601298120275.html?spm=a2700.7724857.0.0.37912356G5ErL0" TargetMode="External"/><Relationship Id="rId12" Type="http://schemas.openxmlformats.org/officeDocument/2006/relationships/hyperlink" Target="https://www.lcsc.com/product-detail/C2337.html" TargetMode="External"/><Relationship Id="rId1" Type="http://schemas.openxmlformats.org/officeDocument/2006/relationships/hyperlink" Target="https://nl.aliexpress.com/item/1005009890247801.html?spm=a2g0o.cart.0.0.3bec61d7IeGl9Y&amp;mp=1&amp;pdp_npi=6%40dis%21EUR%21EUR%207.18%21EUR%203.59%21%21EUR%203.59%21%21%21%402103864c17732347784198025e2e18%2112000050491755796%21ct%21NL%214872523161%21%211%210%21&amp;gatewayAdapt=glo2nld" TargetMode="External"/><Relationship Id="rId2" Type="http://schemas.openxmlformats.org/officeDocument/2006/relationships/hyperlink" Target="https://nl.aliexpress.com/item/1005001331379046.html?spm=a2g0o.cart.0.0.277261d7SrENPP&amp;mp=1&amp;pdp_npi=6%40dis%21EUR%21EUR%201.58%21EUR%201.54%21%21EUR%201.54%21%21%21%40211b61bb17728300126134417e98b5%2112000015723175697%21ct%21NL%214872523161%21%211%210%21&amp;gatewayAdapt=glo2nld" TargetMode="External"/><Relationship Id="rId3" Type="http://schemas.openxmlformats.org/officeDocument/2006/relationships/hyperlink" Target="https://nl.aliexpress.com/item/1005009483624961.html?spm=a2g0o.cart.0.0.277261d7SrENPP&amp;mp=1&amp;pdp_npi=6%40dis%21EUR%21EUR%200.90%21EUR%200.88%21%21EUR%200.88%21%21%21%40211b61bb17728300126134417e98b5%2112000049242880347%21ct%21NL%214872523161%21%212%210%21&amp;gatewayAdapt=glo2nld" TargetMode="External"/><Relationship Id="rId4" Type="http://schemas.openxmlformats.org/officeDocument/2006/relationships/hyperlink" Target="https://nl.aliexpress.com/item/1005005362711029.html?spm=a2g0o.cart.0.0.277261d7SrENPP&amp;mp=1&amp;pdp_npi=6%40dis%21EUR%21EUR%202.99%21EUR%202.99%21%21EUR%202.99%21%21%21%40211b61bb17728300126134417e98b5%2112000032745909182%21ct%21NL%214872523161%21%211%210%21&amp;gatewayAdapt=glo2nld" TargetMode="External"/><Relationship Id="rId9" Type="http://schemas.openxmlformats.org/officeDocument/2006/relationships/hyperlink" Target="https://www.lcsc.com/product-detail/C49678.html" TargetMode="External"/><Relationship Id="rId15" Type="http://schemas.openxmlformats.org/officeDocument/2006/relationships/hyperlink" Target="https://www.amazon.nl/-/en/Adapter-Universal-Transformer-Computer-Surveillance/dp/B07PRY73TN/ref=sr_1_2?crid=3G12GY3AMDYFX&amp;dib=eyJ2IjoiMSJ9.GGLPdBMmtgas9tLmkidIhMgK1wABzzGxMjSw6HfJLptF28G971i87hrGFQZb82bhn_PZWh0cXOKQSO2bA0qeHD9ONIlO5hOa4RYynFymPf5X-6aN_kpA2z7Bfk7xbLgtYw3ZG85S32PSDKowqOz1g_wP0VOv0nCJbjXwWq2pGEwIbXDgrT0I-3rNssGgZdDRWsUs6_hwe--tY3UAb7-XhgLQy0n0H-7sqSQHiuql9sZIc6NdDbR9eu21ph8KYVJsQ4hUPo0NOO5MN17_FGTtQM2NYHWg5qJCwc4waC3QGBw.GK50MAkplBmgr0mNeBmSa0HTPpoQFE7G-70GxmdY4PM&amp;dib_tag=se&amp;keywords=30v%2B5a%2Bpsu&amp;qid=1773234227&amp;sprefix=%2Caps%2C127&amp;sr=8-2&amp;th=1" TargetMode="External"/><Relationship Id="rId14" Type="http://schemas.openxmlformats.org/officeDocument/2006/relationships/hyperlink" Target="https://nl.aliexpress.com/item/1005009321343937.html?spm=a2g0o.cart.0.0.63c761d7Y3yk3k&amp;mp=1&amp;pdp_npi=6%40dis%21EUR%21EUR%2011.83%21EUR%205.39%21%21EUR%205.39%21%21%21%402103956b17747766095947837e22d1%2112000048743060298%21ct%21NL%214872523161%21%213%210%21&amp;gatewayAdapt=glo2nld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nl.aliexpress.com/item/1005008563402600.html?spm=a2g0o.productlist.main.1.3059MF2IMF2I5p&amp;algo_pvid=2fc87953-a2ce-42db-861e-5e6e61cea6c8&amp;algo_exp_id=2fc87953-a2ce-42db-861e-5e6e61cea6c8-0&amp;pdp_ext_f=%7B%22order%22%3A%223316%22%2C%22spu_best_type%22%3A%22price%22%2C%22eval%22%3A%221%22%2C%22fromPage%22%3A%22search%22%7D&amp;pdp_npi=6%40dis%21EUR%218.93%218.69%21%21%2169.98%2168.10%21%402103849717728312067008993ebce9%2112000045750764549%21sea%21NL%214872523161%21X%211%210%21n_tag%3A-29912%3Bd%3A2fd2c7a1%3Bm03_new_user%3A-29895&amp;curPageLogUid=UtoHJnuT4ywC&amp;utparam-url=scene%3Asearch%7Cquery_from%3A%7Cx_object_id%3A1005008563402600%7C_p_origin_prod%3A" TargetMode="External"/><Relationship Id="rId5" Type="http://schemas.openxmlformats.org/officeDocument/2006/relationships/hyperlink" Target="https://nl.aliexpress.com/item/1005009696690444.html?aff_fcid=ab017f0a917b4ad7b0b7a8264d1facdc-1772898515790-01922-_c3AOCbrh&amp;aff_fsk=_c3AOCbrh&amp;aff_platform=api-new-link-generate&amp;sk=_c3AOCbrh&amp;aff_trace_key=ab017f0a917b4ad7b0b7a8264d1facdc-1772898515790-01922-_c3AOCbrh&amp;terminal_id=904137c35a1845989e58c82fc9e763b3&amp;afSmartRedirect=y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s://www.lcsc.com/product-detail/C133640.html" TargetMode="External"/><Relationship Id="rId7" Type="http://schemas.openxmlformats.org/officeDocument/2006/relationships/hyperlink" Target="https://www.lcsc.com/product-detail/C17557.html" TargetMode="External"/><Relationship Id="rId8" Type="http://schemas.openxmlformats.org/officeDocument/2006/relationships/hyperlink" Target="https://www.lcsc.com/product-detail/C8437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26.75"/>
    <col customWidth="1" min="3" max="3" width="12.5"/>
    <col customWidth="1" min="4" max="4" width="12.0"/>
    <col customWidth="1" min="5" max="5" width="12.5"/>
    <col customWidth="1" min="6" max="6" width="16.5"/>
    <col customWidth="1" min="7" max="7" width="13.5"/>
    <col customWidth="1" min="8" max="8" width="16.63"/>
    <col customWidth="1" min="9" max="9" width="16.25"/>
    <col customWidth="1" min="10" max="10" width="5.0"/>
    <col customWidth="1" min="11" max="11" width="23.25"/>
    <col customWidth="1" min="12" max="12" width="17.63"/>
  </cols>
  <sheetData>
    <row r="1" ht="13.5" customHeight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/>
      <c r="K1" s="5"/>
      <c r="L1" s="5"/>
    </row>
    <row r="2" ht="13.5" customHeight="1">
      <c r="A2" s="6" t="b">
        <v>1</v>
      </c>
      <c r="B2" s="7" t="s">
        <v>9</v>
      </c>
      <c r="C2" s="8">
        <v>3.59</v>
      </c>
      <c r="D2" s="7">
        <v>1.0</v>
      </c>
      <c r="E2" s="7">
        <v>1.0</v>
      </c>
      <c r="F2" s="7" t="s">
        <v>10</v>
      </c>
      <c r="G2" s="9" t="s">
        <v>11</v>
      </c>
      <c r="H2" s="10" t="s">
        <v>12</v>
      </c>
      <c r="I2" s="11">
        <f t="shared" ref="I2:I19" si="1">C2*E2</f>
        <v>3.59</v>
      </c>
      <c r="J2" s="4"/>
      <c r="K2" s="5"/>
      <c r="L2" s="5"/>
    </row>
    <row r="3" ht="13.5" customHeight="1">
      <c r="A3" s="12" t="b">
        <v>1</v>
      </c>
      <c r="B3" s="9" t="s">
        <v>13</v>
      </c>
      <c r="C3" s="13">
        <f>1.59/10</f>
        <v>0.159</v>
      </c>
      <c r="D3" s="9">
        <v>1.0</v>
      </c>
      <c r="E3" s="9">
        <v>10.0</v>
      </c>
      <c r="F3" s="9" t="s">
        <v>14</v>
      </c>
      <c r="G3" s="9" t="s">
        <v>11</v>
      </c>
      <c r="H3" s="14" t="s">
        <v>15</v>
      </c>
      <c r="I3" s="11">
        <f t="shared" si="1"/>
        <v>1.59</v>
      </c>
      <c r="J3" s="4"/>
      <c r="K3" s="5"/>
      <c r="L3" s="5"/>
    </row>
    <row r="4" ht="13.5" customHeight="1">
      <c r="A4" s="12" t="b">
        <v>0</v>
      </c>
      <c r="B4" s="9" t="s">
        <v>16</v>
      </c>
      <c r="C4" s="13">
        <f>0.82/50</f>
        <v>0.0164</v>
      </c>
      <c r="D4" s="9">
        <v>20.0</v>
      </c>
      <c r="E4" s="9">
        <v>50.0</v>
      </c>
      <c r="F4" s="9" t="s">
        <v>17</v>
      </c>
      <c r="G4" s="9" t="s">
        <v>11</v>
      </c>
      <c r="H4" s="15" t="s">
        <v>18</v>
      </c>
      <c r="I4" s="11">
        <f t="shared" si="1"/>
        <v>0.82</v>
      </c>
      <c r="J4" s="4"/>
      <c r="K4" s="5"/>
      <c r="L4" s="5"/>
    </row>
    <row r="5" ht="13.5" customHeight="1">
      <c r="A5" s="12" t="b">
        <v>0</v>
      </c>
      <c r="B5" s="9" t="s">
        <v>19</v>
      </c>
      <c r="C5" s="13">
        <f>2.99/100</f>
        <v>0.0299</v>
      </c>
      <c r="D5" s="9">
        <v>20.0</v>
      </c>
      <c r="E5" s="9">
        <v>100.0</v>
      </c>
      <c r="F5" s="9" t="s">
        <v>17</v>
      </c>
      <c r="G5" s="9" t="s">
        <v>11</v>
      </c>
      <c r="H5" s="15" t="s">
        <v>20</v>
      </c>
      <c r="I5" s="11">
        <f t="shared" si="1"/>
        <v>2.99</v>
      </c>
      <c r="J5" s="4"/>
      <c r="K5" s="5"/>
      <c r="L5" s="5"/>
    </row>
    <row r="6" ht="13.5" customHeight="1">
      <c r="A6" s="12" t="b">
        <v>0</v>
      </c>
      <c r="B6" s="9" t="s">
        <v>21</v>
      </c>
      <c r="C6" s="13">
        <f>1.75/10</f>
        <v>0.175</v>
      </c>
      <c r="D6" s="9">
        <v>20.0</v>
      </c>
      <c r="E6" s="9">
        <v>40.0</v>
      </c>
      <c r="F6" s="9" t="s">
        <v>17</v>
      </c>
      <c r="G6" s="9" t="s">
        <v>11</v>
      </c>
      <c r="H6" s="14" t="s">
        <v>22</v>
      </c>
      <c r="I6" s="11">
        <f t="shared" si="1"/>
        <v>7</v>
      </c>
      <c r="J6" s="16"/>
      <c r="K6" s="5"/>
      <c r="L6" s="5"/>
    </row>
    <row r="7" ht="13.5" customHeight="1">
      <c r="A7" s="12" t="b">
        <v>1</v>
      </c>
      <c r="B7" s="9" t="s">
        <v>23</v>
      </c>
      <c r="C7" s="13">
        <v>0.7202</v>
      </c>
      <c r="D7" s="9">
        <v>1.0</v>
      </c>
      <c r="E7" s="9">
        <v>5.0</v>
      </c>
      <c r="F7" s="9" t="s">
        <v>24</v>
      </c>
      <c r="G7" s="9" t="s">
        <v>25</v>
      </c>
      <c r="H7" s="14" t="s">
        <v>26</v>
      </c>
      <c r="I7" s="11">
        <f t="shared" si="1"/>
        <v>3.601</v>
      </c>
      <c r="J7" s="16"/>
      <c r="K7" s="5"/>
      <c r="L7" s="5"/>
    </row>
    <row r="8" ht="13.5" customHeight="1">
      <c r="A8" s="12" t="b">
        <v>1</v>
      </c>
      <c r="B8" s="9" t="s">
        <v>27</v>
      </c>
      <c r="C8" s="13">
        <v>0.0021</v>
      </c>
      <c r="D8" s="9">
        <v>8.0</v>
      </c>
      <c r="E8" s="9">
        <v>300.0</v>
      </c>
      <c r="F8" s="9" t="s">
        <v>28</v>
      </c>
      <c r="G8" s="9" t="s">
        <v>25</v>
      </c>
      <c r="H8" s="14" t="s">
        <v>29</v>
      </c>
      <c r="I8" s="11">
        <f t="shared" si="1"/>
        <v>0.63</v>
      </c>
      <c r="J8" s="16"/>
      <c r="K8" s="5"/>
      <c r="L8" s="5"/>
    </row>
    <row r="9" ht="13.5" customHeight="1">
      <c r="A9" s="12" t="b">
        <v>0</v>
      </c>
      <c r="B9" s="9" t="s">
        <v>30</v>
      </c>
      <c r="C9" s="17">
        <v>0.002</v>
      </c>
      <c r="D9" s="18">
        <v>2.0</v>
      </c>
      <c r="E9" s="18">
        <v>200.0</v>
      </c>
      <c r="F9" s="18" t="s">
        <v>31</v>
      </c>
      <c r="G9" s="9" t="s">
        <v>25</v>
      </c>
      <c r="H9" s="19" t="s">
        <v>32</v>
      </c>
      <c r="I9" s="11">
        <f t="shared" si="1"/>
        <v>0.4</v>
      </c>
      <c r="J9" s="16"/>
      <c r="K9" s="5"/>
      <c r="L9" s="5"/>
    </row>
    <row r="10" ht="13.5" customHeight="1">
      <c r="A10" s="12" t="b">
        <v>0</v>
      </c>
      <c r="B10" s="9" t="s">
        <v>33</v>
      </c>
      <c r="C10" s="13">
        <v>0.0045</v>
      </c>
      <c r="D10" s="9">
        <v>2.0</v>
      </c>
      <c r="E10" s="9">
        <v>200.0</v>
      </c>
      <c r="F10" s="9" t="s">
        <v>34</v>
      </c>
      <c r="G10" s="9" t="s">
        <v>25</v>
      </c>
      <c r="H10" s="14" t="s">
        <v>35</v>
      </c>
      <c r="I10" s="11">
        <f t="shared" si="1"/>
        <v>0.9</v>
      </c>
      <c r="J10" s="16"/>
      <c r="K10" s="5"/>
      <c r="L10" s="5"/>
    </row>
    <row r="11" ht="13.5" customHeight="1">
      <c r="A11" s="12" t="b">
        <v>0</v>
      </c>
      <c r="B11" s="20" t="s">
        <v>36</v>
      </c>
      <c r="C11" s="13">
        <v>0.0339</v>
      </c>
      <c r="D11" s="9">
        <v>1.0</v>
      </c>
      <c r="E11" s="9">
        <v>50.0</v>
      </c>
      <c r="F11" s="9" t="s">
        <v>37</v>
      </c>
      <c r="G11" s="9" t="s">
        <v>25</v>
      </c>
      <c r="H11" s="14" t="s">
        <v>38</v>
      </c>
      <c r="I11" s="11">
        <f t="shared" si="1"/>
        <v>1.695</v>
      </c>
      <c r="J11" s="16"/>
      <c r="K11" s="5"/>
      <c r="L11" s="5"/>
    </row>
    <row r="12" ht="13.5" customHeight="1">
      <c r="A12" s="12" t="b">
        <v>1</v>
      </c>
      <c r="B12" s="9" t="s">
        <v>39</v>
      </c>
      <c r="C12" s="13">
        <v>0.0843</v>
      </c>
      <c r="D12" s="9">
        <v>1.0</v>
      </c>
      <c r="E12" s="9">
        <v>10.0</v>
      </c>
      <c r="F12" s="9" t="s">
        <v>37</v>
      </c>
      <c r="G12" s="9" t="s">
        <v>25</v>
      </c>
      <c r="H12" s="14" t="s">
        <v>40</v>
      </c>
      <c r="I12" s="11">
        <f t="shared" si="1"/>
        <v>0.843</v>
      </c>
      <c r="J12" s="16"/>
      <c r="K12" s="5"/>
      <c r="L12" s="5"/>
    </row>
    <row r="13" ht="13.5" customHeight="1">
      <c r="A13" s="12" t="b">
        <v>0</v>
      </c>
      <c r="B13" s="9" t="s">
        <v>41</v>
      </c>
      <c r="C13" s="13">
        <v>0.1273</v>
      </c>
      <c r="D13" s="9">
        <v>5.0</v>
      </c>
      <c r="E13" s="9">
        <v>15.0</v>
      </c>
      <c r="F13" s="9" t="s">
        <v>42</v>
      </c>
      <c r="G13" s="9" t="s">
        <v>25</v>
      </c>
      <c r="H13" s="14" t="s">
        <v>43</v>
      </c>
      <c r="I13" s="11">
        <f t="shared" si="1"/>
        <v>1.9095</v>
      </c>
      <c r="J13" s="16"/>
      <c r="K13" s="5"/>
      <c r="L13" s="5"/>
    </row>
    <row r="14" ht="13.5" customHeight="1">
      <c r="A14" s="12" t="b">
        <v>0</v>
      </c>
      <c r="B14" s="9"/>
      <c r="C14" s="13"/>
      <c r="D14" s="9"/>
      <c r="E14" s="9"/>
      <c r="F14" s="9"/>
      <c r="G14" s="9"/>
      <c r="H14" s="9"/>
      <c r="I14" s="11">
        <f t="shared" si="1"/>
        <v>0</v>
      </c>
      <c r="J14" s="16"/>
      <c r="K14" s="5"/>
      <c r="L14" s="5"/>
    </row>
    <row r="15" ht="13.5" customHeight="1">
      <c r="A15" s="12" t="b">
        <v>0</v>
      </c>
      <c r="B15" s="9" t="s">
        <v>44</v>
      </c>
      <c r="C15" s="13">
        <v>4.09</v>
      </c>
      <c r="D15" s="9">
        <v>25.0</v>
      </c>
      <c r="E15" s="9">
        <v>25.0</v>
      </c>
      <c r="F15" s="9" t="s">
        <v>44</v>
      </c>
      <c r="G15" s="9" t="s">
        <v>45</v>
      </c>
      <c r="H15" s="21" t="s">
        <v>46</v>
      </c>
      <c r="I15" s="11">
        <f t="shared" si="1"/>
        <v>102.25</v>
      </c>
      <c r="J15" s="16"/>
      <c r="K15" s="5"/>
      <c r="L15" s="5"/>
    </row>
    <row r="16" ht="13.5" customHeight="1">
      <c r="A16" s="22" t="b">
        <v>0</v>
      </c>
      <c r="B16" s="23" t="s">
        <v>47</v>
      </c>
      <c r="C16" s="24">
        <v>5.39</v>
      </c>
      <c r="D16" s="23">
        <v>3.0</v>
      </c>
      <c r="E16" s="23">
        <v>3.0</v>
      </c>
      <c r="F16" s="23" t="s">
        <v>48</v>
      </c>
      <c r="G16" s="9" t="s">
        <v>11</v>
      </c>
      <c r="H16" s="25" t="s">
        <v>49</v>
      </c>
      <c r="I16" s="11">
        <f t="shared" si="1"/>
        <v>16.17</v>
      </c>
      <c r="J16" s="16"/>
      <c r="K16" s="5"/>
      <c r="L16" s="5"/>
    </row>
    <row r="17" ht="13.5" customHeight="1">
      <c r="A17" s="12" t="b">
        <v>1</v>
      </c>
      <c r="B17" s="9" t="s">
        <v>50</v>
      </c>
      <c r="C17" s="26">
        <v>19.99</v>
      </c>
      <c r="D17" s="9">
        <v>2.0</v>
      </c>
      <c r="E17" s="9">
        <v>2.0</v>
      </c>
      <c r="F17" s="9" t="s">
        <v>50</v>
      </c>
      <c r="G17" s="9" t="s">
        <v>51</v>
      </c>
      <c r="H17" s="14" t="s">
        <v>52</v>
      </c>
      <c r="I17" s="11">
        <f t="shared" si="1"/>
        <v>39.98</v>
      </c>
      <c r="J17" s="16"/>
      <c r="K17" s="5"/>
      <c r="L17" s="5"/>
    </row>
    <row r="18" ht="13.5" customHeight="1">
      <c r="A18" s="12" t="b">
        <v>0</v>
      </c>
      <c r="B18" s="9"/>
      <c r="C18" s="26"/>
      <c r="D18" s="9"/>
      <c r="E18" s="9"/>
      <c r="F18" s="9"/>
      <c r="G18" s="9" t="s">
        <v>11</v>
      </c>
      <c r="H18" s="9"/>
      <c r="I18" s="11">
        <f t="shared" si="1"/>
        <v>0</v>
      </c>
      <c r="J18" s="16"/>
      <c r="K18" s="5"/>
      <c r="L18" s="5"/>
    </row>
    <row r="19" ht="13.5" customHeight="1">
      <c r="A19" s="12" t="b">
        <v>0</v>
      </c>
      <c r="B19" s="9" t="s">
        <v>53</v>
      </c>
      <c r="C19" s="13">
        <v>8.99</v>
      </c>
      <c r="D19" s="9" t="s">
        <v>54</v>
      </c>
      <c r="E19" s="9">
        <v>1.0</v>
      </c>
      <c r="F19" s="9" t="s">
        <v>55</v>
      </c>
      <c r="G19" s="9" t="s">
        <v>11</v>
      </c>
      <c r="H19" s="14" t="s">
        <v>56</v>
      </c>
      <c r="I19" s="11">
        <f t="shared" si="1"/>
        <v>8.99</v>
      </c>
      <c r="J19" s="16"/>
      <c r="K19" s="5"/>
      <c r="L19" s="5"/>
    </row>
    <row r="20" ht="13.5" customHeight="1">
      <c r="A20" s="4"/>
      <c r="B20" s="4"/>
      <c r="C20" s="16"/>
      <c r="D20" s="4"/>
      <c r="E20" s="4"/>
      <c r="F20" s="4"/>
      <c r="G20" s="16"/>
      <c r="H20" s="16"/>
      <c r="I20" s="16"/>
      <c r="J20" s="16"/>
      <c r="K20" s="16"/>
      <c r="L20" s="27"/>
    </row>
    <row r="21" ht="13.5" customHeight="1">
      <c r="A21" s="4"/>
      <c r="B21" s="4"/>
      <c r="C21" s="16"/>
      <c r="D21" s="4"/>
      <c r="E21" s="4"/>
      <c r="F21" s="4"/>
      <c r="G21" s="16"/>
      <c r="H21" s="16"/>
      <c r="I21" s="16"/>
      <c r="J21" s="16"/>
      <c r="K21" s="28"/>
      <c r="L21" s="29"/>
    </row>
    <row r="22" ht="13.5" customHeight="1">
      <c r="A22" s="4"/>
      <c r="B22" s="4"/>
      <c r="C22" s="16"/>
      <c r="D22" s="4"/>
      <c r="E22" s="4"/>
      <c r="F22" s="4"/>
      <c r="G22" s="16"/>
      <c r="H22" s="16"/>
      <c r="I22" s="16"/>
      <c r="J22" s="16"/>
      <c r="K22" s="30"/>
      <c r="L22" s="31"/>
    </row>
    <row r="23" ht="13.5" customHeight="1">
      <c r="J23" s="16"/>
      <c r="K23" s="16"/>
    </row>
    <row r="24" ht="13.5" customHeight="1">
      <c r="A24" s="4"/>
      <c r="B24" s="4"/>
      <c r="C24" s="16"/>
      <c r="D24" s="4"/>
      <c r="E24" s="4"/>
      <c r="F24" s="4"/>
      <c r="G24" s="16"/>
      <c r="H24" s="16"/>
      <c r="I24" s="16"/>
      <c r="J24" s="16"/>
      <c r="L24" s="16"/>
    </row>
    <row r="25" ht="13.5" customHeight="1">
      <c r="A25" s="4"/>
      <c r="B25" s="4"/>
      <c r="C25" s="16"/>
      <c r="D25" s="4"/>
      <c r="E25" s="4"/>
      <c r="F25" s="4"/>
      <c r="G25" s="16"/>
      <c r="H25" s="16"/>
      <c r="I25" s="16"/>
      <c r="J25" s="16"/>
      <c r="K25" s="16"/>
      <c r="L25" s="16"/>
    </row>
    <row r="26" ht="13.5" customHeight="1">
      <c r="A26" s="4"/>
      <c r="B26" s="4"/>
      <c r="C26" s="16"/>
      <c r="D26" s="4"/>
      <c r="E26" s="4"/>
      <c r="F26" s="4"/>
      <c r="G26" s="16"/>
      <c r="H26" s="16"/>
      <c r="I26" s="16"/>
      <c r="J26" s="16"/>
      <c r="K26" s="16"/>
      <c r="L26" s="16"/>
    </row>
    <row r="27" ht="13.5" customHeight="1">
      <c r="J27" s="16"/>
      <c r="K27" s="16"/>
      <c r="L27" s="16"/>
    </row>
    <row r="28" ht="13.5" customHeight="1">
      <c r="J28" s="16"/>
      <c r="K28" s="16"/>
      <c r="L28" s="16"/>
    </row>
    <row r="29" ht="13.5" customHeight="1">
      <c r="A29" s="4"/>
      <c r="B29" s="4"/>
      <c r="C29" s="16"/>
      <c r="D29" s="4"/>
      <c r="E29" s="4"/>
      <c r="F29" s="4"/>
      <c r="G29" s="16"/>
      <c r="H29" s="16"/>
      <c r="I29" s="16"/>
      <c r="J29" s="16"/>
      <c r="K29" s="16"/>
      <c r="L29" s="16"/>
    </row>
    <row r="30" ht="13.5" customHeight="1">
      <c r="A30" s="4"/>
      <c r="B30" s="4"/>
      <c r="C30" s="16"/>
      <c r="D30" s="4"/>
      <c r="E30" s="4"/>
      <c r="F30" s="4"/>
      <c r="G30" s="16"/>
      <c r="H30" s="16"/>
      <c r="I30" s="16"/>
      <c r="J30" s="16"/>
      <c r="K30" s="16"/>
      <c r="L30" s="16"/>
    </row>
    <row r="31" ht="13.5" customHeight="1">
      <c r="A31" s="4"/>
      <c r="B31" s="4"/>
      <c r="C31" s="16"/>
      <c r="D31" s="4"/>
      <c r="E31" s="4"/>
      <c r="F31" s="4"/>
      <c r="G31" s="16"/>
      <c r="H31" s="16"/>
      <c r="I31" s="16"/>
      <c r="J31" s="16"/>
      <c r="K31" s="16"/>
      <c r="L31" s="16"/>
    </row>
    <row r="32" ht="13.5" customHeight="1">
      <c r="A32" s="4"/>
      <c r="B32" s="4"/>
      <c r="C32" s="16"/>
      <c r="D32" s="4"/>
      <c r="E32" s="4"/>
      <c r="F32" s="4"/>
      <c r="G32" s="16"/>
      <c r="H32" s="16"/>
      <c r="I32" s="16"/>
      <c r="J32" s="16"/>
      <c r="K32" s="16"/>
      <c r="L32" s="16"/>
    </row>
    <row r="33" ht="13.5" customHeight="1">
      <c r="A33" s="4"/>
      <c r="B33" s="4"/>
      <c r="C33" s="16"/>
      <c r="D33" s="4"/>
      <c r="E33" s="4"/>
      <c r="F33" s="4"/>
      <c r="G33" s="16"/>
      <c r="H33" s="16"/>
      <c r="I33" s="16"/>
      <c r="J33" s="16"/>
      <c r="K33" s="16"/>
      <c r="L33" s="16"/>
    </row>
    <row r="34" ht="13.5" customHeight="1">
      <c r="A34" s="4"/>
      <c r="B34" s="4"/>
      <c r="C34" s="16"/>
      <c r="D34" s="4"/>
      <c r="E34" s="4"/>
      <c r="F34" s="4"/>
      <c r="G34" s="16"/>
      <c r="H34" s="16"/>
      <c r="I34" s="16"/>
      <c r="J34" s="16"/>
      <c r="K34" s="16"/>
      <c r="L34" s="16"/>
    </row>
    <row r="35" ht="13.5" customHeight="1">
      <c r="A35" s="4"/>
      <c r="B35" s="4"/>
      <c r="C35" s="16"/>
      <c r="D35" s="4"/>
      <c r="E35" s="4"/>
      <c r="F35" s="4"/>
      <c r="G35" s="16"/>
      <c r="H35" s="16"/>
      <c r="I35" s="16"/>
      <c r="J35" s="16"/>
      <c r="K35" s="16"/>
      <c r="L35" s="16"/>
    </row>
    <row r="36" ht="13.5" customHeight="1">
      <c r="A36" s="4"/>
      <c r="B36" s="4"/>
      <c r="C36" s="16"/>
      <c r="D36" s="4"/>
      <c r="E36" s="4"/>
      <c r="F36" s="4"/>
      <c r="G36" s="16"/>
      <c r="H36" s="16"/>
      <c r="I36" s="16"/>
      <c r="J36" s="16"/>
      <c r="K36" s="16"/>
      <c r="L36" s="16"/>
    </row>
    <row r="37" ht="13.5" customHeight="1">
      <c r="A37" s="4"/>
      <c r="B37" s="4"/>
      <c r="C37" s="16"/>
      <c r="D37" s="4"/>
      <c r="E37" s="4"/>
      <c r="F37" s="4"/>
      <c r="G37" s="16"/>
      <c r="H37" s="16"/>
      <c r="I37" s="16"/>
      <c r="J37" s="16"/>
      <c r="K37" s="16"/>
      <c r="L37" s="16"/>
    </row>
    <row r="38" ht="13.5" customHeight="1">
      <c r="A38" s="4"/>
      <c r="B38" s="4"/>
      <c r="C38" s="16"/>
      <c r="D38" s="4"/>
      <c r="E38" s="4"/>
      <c r="F38" s="4"/>
      <c r="G38" s="16"/>
      <c r="H38" s="16"/>
      <c r="I38" s="16"/>
      <c r="J38" s="16"/>
      <c r="K38" s="16"/>
      <c r="L38" s="16"/>
    </row>
  </sheetData>
  <dataValidations>
    <dataValidation type="custom" allowBlank="1" showDropDown="1" sqref="C2:C19 I2:I19">
      <formula1>AND(ISNUMBER(C2),(NOT(OR(NOT(ISERROR(DATEVALUE(C2))), AND(ISNUMBER(C2), LEFT(CELL("format", C2))="D")))))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5"/>
    <hyperlink r:id="rId14" ref="H16"/>
    <hyperlink r:id="rId15" ref="H17"/>
    <hyperlink r:id="rId16" ref="H19"/>
  </hyperlinks>
  <printOptions gridLines="1" horizontalCentered="1"/>
  <pageMargins bottom="0.75" footer="0.0" header="0.0" left="0.7" right="0.7" top="0.75"/>
  <pageSetup cellComments="atEnd" orientation="landscape" pageOrder="overThenDown"/>
  <drawing r:id="rId17"/>
  <tableParts count="1">
    <tablePart r:id="rId19"/>
  </tableParts>
</worksheet>
</file>